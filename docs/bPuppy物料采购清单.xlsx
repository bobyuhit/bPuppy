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8_{8F5A1ACE-56ED-4D39-8D63-54C2E7B66070}" xr6:coauthVersionLast="47" xr6:coauthVersionMax="47" xr10:uidLastSave="{00000000-0000-0000-0000-000000000000}"/>
  <bookViews>
    <workbookView xWindow="-98" yWindow="-98" windowWidth="28996" windowHeight="15675" firstSheet="1" activeTab="1" xr2:uid="{00000000-000D-0000-FFFF-FFFF00000000}"/>
  </bookViews>
  <sheets>
    <sheet name="BOM_Board V0.4_Schematic1_2_202" sheetId="1" r:id="rId1"/>
    <sheet name="复刻物料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D36" i="2"/>
</calcChain>
</file>

<file path=xl/sharedStrings.xml><?xml version="1.0" encoding="utf-8"?>
<sst xmlns="http://schemas.openxmlformats.org/spreadsheetml/2006/main" count="172" uniqueCount="172">
  <si>
    <t>No.</t>
  </si>
  <si>
    <t>Comment</t>
  </si>
  <si>
    <t>1</t>
  </si>
  <si>
    <t>1000uF 电容</t>
    <phoneticPr fontId="1" type="noConversion"/>
  </si>
  <si>
    <t>2</t>
  </si>
  <si>
    <t>22uf</t>
  </si>
  <si>
    <t>3</t>
  </si>
  <si>
    <t>XT30UPB-M</t>
  </si>
  <si>
    <t>4</t>
  </si>
  <si>
    <t>1.27</t>
  </si>
  <si>
    <t>5</t>
  </si>
  <si>
    <t>HC-1.25-4A</t>
  </si>
  <si>
    <t>6</t>
  </si>
  <si>
    <t>HC-PH-4AWT</t>
  </si>
  <si>
    <t>7</t>
  </si>
  <si>
    <t>BAT60AE6327</t>
  </si>
  <si>
    <t>8</t>
  </si>
  <si>
    <t>TSW-104-08-F-T-RA</t>
  </si>
  <si>
    <t>9</t>
  </si>
  <si>
    <t>LED_0603-R</t>
  </si>
  <si>
    <t>10</t>
  </si>
  <si>
    <t>MPU6500陀螺仪模块</t>
  </si>
  <si>
    <t>14</t>
  </si>
  <si>
    <t>513</t>
  </si>
  <si>
    <t>15</t>
  </si>
  <si>
    <t>103</t>
  </si>
  <si>
    <t>17</t>
  </si>
  <si>
    <t>18</t>
  </si>
  <si>
    <t>M2螺丝</t>
  </si>
  <si>
    <t>19</t>
  </si>
  <si>
    <t>SK12D07VG5</t>
  </si>
  <si>
    <t>20</t>
  </si>
  <si>
    <t>ESP32-S3 WROOM N16R8 CAM</t>
  </si>
  <si>
    <t>21</t>
  </si>
  <si>
    <t>mini360</t>
  </si>
  <si>
    <t>22</t>
  </si>
  <si>
    <t>CI-33T双麦离线语音控制模块</t>
  </si>
  <si>
    <t>23</t>
  </si>
  <si>
    <t>mic</t>
  </si>
  <si>
    <t>24</t>
  </si>
  <si>
    <t>PZ254-3-03-W-2.5-G0</t>
  </si>
  <si>
    <t>AMS1085CD-3.3 TO252</t>
  </si>
  <si>
    <t/>
  </si>
  <si>
    <t>分类</t>
    <phoneticPr fontId="1" type="noConversion"/>
  </si>
  <si>
    <t>物品名称</t>
    <phoneticPr fontId="1" type="noConversion"/>
  </si>
  <si>
    <t>数量</t>
    <phoneticPr fontId="1" type="noConversion"/>
  </si>
  <si>
    <t>单价</t>
    <phoneticPr fontId="1" type="noConversion"/>
  </si>
  <si>
    <t>购买备注</t>
    <phoneticPr fontId="1" type="noConversion"/>
  </si>
  <si>
    <t>购买链接</t>
    <phoneticPr fontId="1" type="noConversion"/>
  </si>
  <si>
    <t>基础功能(必选)</t>
    <phoneticPr fontId="1" type="noConversion"/>
  </si>
  <si>
    <t>MG90S金属齿轮舵机</t>
    <phoneticPr fontId="1" type="noConversion"/>
  </si>
  <si>
    <t>270度 模拟舵机</t>
    <phoneticPr fontId="1" type="noConversion"/>
  </si>
  <si>
    <t>https://item.taobao.com/item.htm?id=673368613915&amp;mi_id=0000PaukOC42I-MGojwwc5siwyvqu1an-thQUNsjB2HlKOg&amp;skuId=5022626707728&amp;spm=tbpc.boughtlist.suborder_itemtitle.1.591e2e8dBFQBpZ</t>
  </si>
  <si>
    <t>ESP32-S3 N16R8 CAM开发板</t>
    <phoneticPr fontId="1" type="noConversion"/>
  </si>
  <si>
    <t>单板</t>
    <phoneticPr fontId="1" type="noConversion"/>
  </si>
  <si>
    <t>https://item.taobao.com/item.htm?id=796899813635&amp;mi_id=0000o5i83iiBvSBtEJysGu9gD5pUJNlXhuELonw7GyKaLig&amp;spm=tbpc.boughtlist.suborder_itemtitle.1.591e2e8dBFQBpZ&amp;skuId=5602995759850</t>
  </si>
  <si>
    <t>鸿杰水弹枪2S电池 SD05</t>
    <phoneticPr fontId="1" type="noConversion"/>
  </si>
  <si>
    <t>7.4V 2000mAh 552075 SM黑色插头</t>
    <phoneticPr fontId="1" type="noConversion"/>
  </si>
  <si>
    <t>https://item.taobao.com/item.htm?id=580182476316&amp;mi_id=0000HBL15R5mbJMppf7uiYVxPYMSDAwwKg7AEeKN4aG1-cU&amp;spm=tbpc.boughtlist.suborder_itemtitle.1.591e2e8dBFQBpZ&amp;skuId=5053246733501</t>
    <phoneticPr fontId="1" type="noConversion"/>
  </si>
  <si>
    <t>鸿杰 锂电池充电器 USB充电线</t>
    <phoneticPr fontId="1" type="noConversion"/>
  </si>
  <si>
    <t>7.4V 锂电池充电线 1300mA</t>
    <phoneticPr fontId="1" type="noConversion"/>
  </si>
  <si>
    <t>https://item.taobao.com/item.htm?from=cart&amp;id=521487027221&amp;mi_id=0000BbDS-STP6-lD3EVJDpZraWcXKmUZIxXLb0TONPcwcH0&amp;skuId=5041535711777&amp;spm=a1z0d.6639537%2F202410.item.d521487027221.515d74849WtgIU&amp;upStreamPrice=1200</t>
  </si>
  <si>
    <t>Mini360航模电源降压模块</t>
    <phoneticPr fontId="1" type="noConversion"/>
  </si>
  <si>
    <r>
      <t>15元</t>
    </r>
    <r>
      <rPr>
        <sz val="11"/>
        <color rgb="FFFF0000"/>
        <rFont val="宋体"/>
        <family val="3"/>
        <charset val="134"/>
        <scheme val="minor"/>
      </rPr>
      <t>10个</t>
    </r>
    <phoneticPr fontId="1" type="noConversion"/>
  </si>
  <si>
    <t>https://item.taobao.com/item.htm?id=895068044567&amp;mi_id=0000grT-tRrcBYjWnlLONRVNKjT74Vgw4UgUQMnu47NMTAc&amp;skuId=5912330687876&amp;spm=tbpc.boughtlist.suborder_itemtitle.1.591e2e8dBFQBpZ</t>
    <phoneticPr fontId="1" type="noConversion"/>
  </si>
  <si>
    <t>贴片铝电解电容 16V 1000UF</t>
    <phoneticPr fontId="1" type="noConversion"/>
  </si>
  <si>
    <t xml:space="preserve">体积 10*10.5MM </t>
    <phoneticPr fontId="1" type="noConversion"/>
  </si>
  <si>
    <t>https://item.taobao.com/item.htm?id=522573990110&amp;mi_id=0000Xqje-89Hy7NfjdqQdReDCHc1wNmyG78SQq8FvZ87Tfw&amp;spm=tbpc.boughtlist.suborder_itemtitle.1.591e2e8dBFQBpZ</t>
    <phoneticPr fontId="1" type="noConversion"/>
  </si>
  <si>
    <t>SK12D07VG3 拨动开关</t>
    <phoneticPr fontId="1" type="noConversion"/>
  </si>
  <si>
    <t>https://item.taobao.com/item.htm?id=522579508313&amp;mi_id=0000XDNNHTAdgJgmBv-P9tN6aCisSN4DvJnNP5VOs_GyMoY&amp;spm=tbpc.boughtlist.suborder_itemtitle.1.631b2e8dq9wl11</t>
    <phoneticPr fontId="1" type="noConversion"/>
  </si>
  <si>
    <t>0603贴片电阻 513</t>
    <phoneticPr fontId="1" type="noConversion"/>
  </si>
  <si>
    <t>51K 欧姆</t>
    <phoneticPr fontId="1" type="noConversion"/>
  </si>
  <si>
    <t>https://item.taobao.com/item.htm?id=522577284045&amp;mi_id=0000MlX6BBnEf1PqbyHCZMk6B2sLF90HYusbLva4RGq3gvI&amp;skuId=5867830074660&amp;spm=a312a.7700824.w4002-24706531953.12.ace86a4bwrQK5F</t>
    <phoneticPr fontId="1" type="noConversion"/>
  </si>
  <si>
    <t>0603贴片电阻 512</t>
    <phoneticPr fontId="1" type="noConversion"/>
  </si>
  <si>
    <t>5.1K 欧姆</t>
    <phoneticPr fontId="1" type="noConversion"/>
  </si>
  <si>
    <t>https://item.taobao.com/item.htm?id=522577284045&amp;mi_id=0000MlX6BBnEf1PqbyHCZMk6B2sLF90HYusbLva4RGq3gvI&amp;skuId=5867078106849&amp;spm=a312a.7700824.w4002-24706531953.12.ace86a4bwrQK5F</t>
  </si>
  <si>
    <t>0603贴片电阻 103</t>
    <phoneticPr fontId="1" type="noConversion"/>
  </si>
  <si>
    <t>10K 欧姆</t>
    <phoneticPr fontId="1" type="noConversion"/>
  </si>
  <si>
    <t>https://item.taobao.com/item.htm?id=522577284045&amp;mi_id=0000MlX6BBnEf1PqbyHCZMk6B2sLF90HYusbLva4RGq3gvI&amp;skuId=5867078106878&amp;spm=a312a.7700824.w4002-24706531953.12.ace86a4bwrQK5F</t>
    <phoneticPr fontId="1" type="noConversion"/>
  </si>
  <si>
    <t>0603贴片电阻0欧姆</t>
    <phoneticPr fontId="1" type="noConversion"/>
  </si>
  <si>
    <t>0 欧姆</t>
    <phoneticPr fontId="1" type="noConversion"/>
  </si>
  <si>
    <t>https://item.taobao.com/item.htm?id=522577284045&amp;mi_id=0000MlX6BBnEf1PqbyHCZMk6B2sLF90HYusbLva4RGq3gvI&amp;spm=a312a.7700824.w4002-24706531953.12.ace86a4bwrQK5F&amp;skuId=5867078106846</t>
    <phoneticPr fontId="1" type="noConversion"/>
  </si>
  <si>
    <t>0603 LED</t>
    <phoneticPr fontId="1" type="noConversion"/>
  </si>
  <si>
    <t>0603LED 蓝色</t>
    <phoneticPr fontId="1" type="noConversion"/>
  </si>
  <si>
    <t>https://item.taobao.com/item.htm?id=522554271548&amp;mi_id=0000Vq6wuAVN0A2AAbWoej4u96y9k5vDhW31NPee86TMpDA&amp;skuId=5766142345186&amp;spm=a312a.7700824.w4002-24706531953.10.191f6a4bQxhbJX</t>
    <phoneticPr fontId="1" type="noConversion"/>
  </si>
  <si>
    <t>BAT60A 低压差二极管</t>
    <phoneticPr fontId="1" type="noConversion"/>
  </si>
  <si>
    <t>BAT60A(不能是BAT60B)</t>
    <phoneticPr fontId="1" type="noConversion"/>
  </si>
  <si>
    <t>https://item.taobao.com/item.htm?id=684691568738&amp;mi_id=0000ng5zFv9W4YW6GV7er_RIRTyGBYg3HZsnQmJp3Y91N-c&amp;spm=tbpc.boughtlist.suborder_itemtitle.1.631b2e8dq9wl11</t>
    <phoneticPr fontId="1" type="noConversion"/>
  </si>
  <si>
    <t>SM-2P公头线</t>
    <phoneticPr fontId="1" type="noConversion"/>
  </si>
  <si>
    <r>
      <t>3.5元</t>
    </r>
    <r>
      <rPr>
        <sz val="11"/>
        <color rgb="FFFF0000"/>
        <rFont val="宋体"/>
        <family val="3"/>
        <charset val="134"/>
        <scheme val="minor"/>
      </rPr>
      <t>5条</t>
    </r>
    <r>
      <rPr>
        <sz val="11"/>
        <color theme="1"/>
        <rFont val="宋体"/>
        <family val="2"/>
        <scheme val="minor"/>
      </rPr>
      <t xml:space="preserve"> 2.54mm 2P 公头线 10cm</t>
    </r>
    <r>
      <rPr>
        <sz val="11"/>
        <color rgb="FFFF0000"/>
        <rFont val="宋体"/>
        <family val="3"/>
        <charset val="134"/>
        <scheme val="minor"/>
      </rPr>
      <t>（不要买多了）</t>
    </r>
    <phoneticPr fontId="1" type="noConversion"/>
  </si>
  <si>
    <t>https://item.taobao.com/item.htm?abbucket=5&amp;id=705594451564&amp;mi_id=0000jXnwBC4jwHlI2aIU0_IEJHM5Bm_8ptrhSnnhpY4seXw&amp;ns=1&amp;priceTId=2100c91317872039226376258e0a2a&amp;skuId=5135814551305&amp;spm=a21n57.1.hoverItem.11&amp;utparam=%7B%22aplus_abtest%22%3A%22d27fed187366cc94e8415caaa95df342%22%7D&amp;xxc=taobaoSearch</t>
    <phoneticPr fontId="1" type="noConversion"/>
  </si>
  <si>
    <t>2.54mm间距 三排弯针 3*4P</t>
    <phoneticPr fontId="1" type="noConversion"/>
  </si>
  <si>
    <t>2.54三排弯针-3*4P</t>
    <phoneticPr fontId="1" type="noConversion"/>
  </si>
  <si>
    <t>https://item.taobao.com/item.htm?id=729994086624&amp;mi_id=0000Q8wH8oz0prNi-NfZhS8TM1LMfMfJvoIHg7rzT2Ym4Cg&amp;skuId=5228596874363&amp;spm=tbpc.boughtlist.suborder_itemtitle.1.631b2e8dq9wl11</t>
    <phoneticPr fontId="1" type="noConversion"/>
  </si>
  <si>
    <t>2.54mm间距 三排弯针 3*3P</t>
    <phoneticPr fontId="1" type="noConversion"/>
  </si>
  <si>
    <t>2.54三排弯针-3*3P</t>
    <phoneticPr fontId="1" type="noConversion"/>
  </si>
  <si>
    <t>https://item.taobao.com/item.htm?id=729994086624&amp;mi_id=0000Q8wH8oz0prNi-NfZhS8TM1LMfMfJvoIHg7rzT2Ym4Cg&amp;skuId=5228596874362&amp;spm=tbpc.boughtlist.suborder_itemtitle.1.631b2e8dq9wl11</t>
    <phoneticPr fontId="1" type="noConversion"/>
  </si>
  <si>
    <t>2.54mm间距 单排排母 1x20P</t>
    <phoneticPr fontId="1" type="noConversion"/>
  </si>
  <si>
    <t>2.54mm间距 单排排母 普通材质</t>
    <phoneticPr fontId="1" type="noConversion"/>
  </si>
  <si>
    <t>https://item.taobao.com/item.htm?id=775606194713&amp;mi_id=0000J9eC9nvykx-Ena157hIiPFe78lnam8hFU-VAtzRAxkA&amp;skuId=5473103418758&amp;spm=a21xtw.29978516.0.0&amp;xxc=shop</t>
    <phoneticPr fontId="1" type="noConversion"/>
  </si>
  <si>
    <t>超薄头大平头十字螺丝</t>
    <phoneticPr fontId="1" type="noConversion"/>
  </si>
  <si>
    <r>
      <t>6元</t>
    </r>
    <r>
      <rPr>
        <sz val="11"/>
        <color rgb="FFFF0000"/>
        <rFont val="宋体"/>
        <family val="3"/>
        <charset val="134"/>
        <scheme val="minor"/>
      </rPr>
      <t>100粒</t>
    </r>
    <r>
      <rPr>
        <sz val="11"/>
        <color theme="1"/>
        <rFont val="宋体"/>
        <family val="2"/>
        <scheme val="minor"/>
      </rPr>
      <t xml:space="preserve"> 2.5*8(100粒)304本色 (不要买多了）</t>
    </r>
    <phoneticPr fontId="1" type="noConversion"/>
  </si>
  <si>
    <t>https://detail.tmall.com/item.htm?id=743676697133&amp;mi_id=0000bMSNH6AzI_BWOACssYagPcJmKP7z3x107rJ7ZeLRmKo&amp;spm=tbpc.boughtlist.suborder_itemtitle.1.631b2e8dq9wl11&amp;skuId=5298752274839</t>
    <phoneticPr fontId="1" type="noConversion"/>
  </si>
  <si>
    <t>圆头自攻螺丝</t>
    <phoneticPr fontId="1" type="noConversion"/>
  </si>
  <si>
    <r>
      <rPr>
        <sz val="11"/>
        <color rgb="FFFF0000"/>
        <rFont val="宋体"/>
        <family val="3"/>
        <charset val="134"/>
        <scheme val="minor"/>
      </rPr>
      <t>200粒</t>
    </r>
    <r>
      <rPr>
        <sz val="11"/>
        <color theme="1"/>
        <rFont val="宋体"/>
        <family val="2"/>
        <scheme val="minor"/>
      </rPr>
      <t>4.78元 M2x6</t>
    </r>
    <phoneticPr fontId="1" type="noConversion"/>
  </si>
  <si>
    <t>https://detail.tmall.com/item.htm?id=535509636505&amp;mi_id=0000ZtF4JMxAPdtwiXXJ9lVDm07WcN5-2dLGK3i3NMDq3_Y&amp;spm=tbpc.boughtlist.suborder_itemtitle.1.631b2e8dq9wl11&amp;skuId=5099212918856</t>
    <phoneticPr fontId="1" type="noConversion"/>
  </si>
  <si>
    <t>304不锈钢十字圆头带垫自攻螺丝</t>
    <phoneticPr fontId="1" type="noConversion"/>
  </si>
  <si>
    <r>
      <rPr>
        <sz val="11"/>
        <color rgb="FFFF0000"/>
        <rFont val="宋体"/>
        <family val="3"/>
        <charset val="134"/>
        <scheme val="minor"/>
      </rPr>
      <t>200粒</t>
    </r>
    <r>
      <rPr>
        <sz val="11"/>
        <color theme="1"/>
        <rFont val="宋体"/>
        <family val="2"/>
        <scheme val="minor"/>
      </rPr>
      <t xml:space="preserve">4.13元 M2*8*5 </t>
    </r>
    <phoneticPr fontId="1" type="noConversion"/>
  </si>
  <si>
    <t>https://detail.tmall.com/item.htm?id=534887654065&amp;mi_id=0000QpiWsslwyDdwPVkVZReUf89LCNVKzdcMk0M1nR39PYM&amp;skuId=5995319965372&amp;spm=tbpc.boughtlist.suborder_itemtitle.1.631b2e8dq9wl11</t>
    <phoneticPr fontId="1" type="noConversion"/>
  </si>
  <si>
    <t>绿林十字螺丝刀 3x75</t>
    <phoneticPr fontId="1" type="noConversion"/>
  </si>
  <si>
    <t>3x75mm 十字</t>
    <phoneticPr fontId="1" type="noConversion"/>
  </si>
  <si>
    <t>https://detail.tmall.com/item.htm?id=565179441912&amp;mi_id=0000qAvYt8p_0Nd1wudDUho-sVXtWSavB3ZXDbx6lw8yaGs&amp;spm=tbpc.boughtlist.suborder_itemtitle.1.631b2e8dq9wl11&amp;skuId=4609913388270</t>
    <phoneticPr fontId="1" type="noConversion"/>
  </si>
  <si>
    <t>外部扩展接口(选配)</t>
    <phoneticPr fontId="1" type="noConversion"/>
  </si>
  <si>
    <t>AMS1085CD-3.3</t>
    <phoneticPr fontId="1" type="noConversion"/>
  </si>
  <si>
    <t>3.3V TO-252</t>
    <phoneticPr fontId="1" type="noConversion"/>
  </si>
  <si>
    <t>https://item.taobao.com/item.htm?id=549646686749&amp;mi_id=00007xkVLVT3RkJmx_pXo2fAdkt3ww80aMq_h-rqwSI0tTc&amp;spm=tbpc.boughtlist.suborder_itemtitle.1.27762e8dHSi75l</t>
  </si>
  <si>
    <t>PH2.0_4P_卧贴</t>
    <phoneticPr fontId="1" type="noConversion"/>
  </si>
  <si>
    <r>
      <t>1.92元</t>
    </r>
    <r>
      <rPr>
        <sz val="11"/>
        <color rgb="FFFF0000"/>
        <rFont val="宋体"/>
        <family val="3"/>
        <charset val="134"/>
        <scheme val="minor"/>
      </rPr>
      <t xml:space="preserve">10个 </t>
    </r>
    <r>
      <rPr>
        <sz val="11"/>
        <color theme="1"/>
        <rFont val="宋体"/>
        <family val="2"/>
        <scheme val="minor"/>
      </rPr>
      <t>4P 卧贴 （不要买多了）</t>
    </r>
    <phoneticPr fontId="1" type="noConversion"/>
  </si>
  <si>
    <t>https://item.taobao.com/item.htm?id=553223118722&amp;mi_id=0000A2FrJV-v8Z-HSN3EEuRG6KDebBNDEKNLIoQfwcge3FA&amp;spm=tbpc.boughtlist.suborder_itemtitle.1.27762e8dHSi75l&amp;skuId=5947676967153</t>
    <phoneticPr fontId="1" type="noConversion"/>
  </si>
  <si>
    <t>钽电容 22uf 10V</t>
    <phoneticPr fontId="1" type="noConversion"/>
  </si>
  <si>
    <t>3216A封装 22uf 10V</t>
    <phoneticPr fontId="1" type="noConversion"/>
  </si>
  <si>
    <t>https://item.taobao.com/item.htm?id=536883088300&amp;mi_id=0000Fk2jsvTXv0_91fduj0djpRpfck_qth1yoQf1StqinlA&amp;spm=tbpc.boughtlist.suborder_itemtitle.1.27762e8dHSi75l</t>
    <phoneticPr fontId="1" type="noConversion"/>
  </si>
  <si>
    <t>语音控制(选配)</t>
    <phoneticPr fontId="1" type="noConversion"/>
  </si>
  <si>
    <t>智能语音识别模块CI-33T</t>
    <phoneticPr fontId="1" type="noConversion"/>
  </si>
  <si>
    <t>CI-33T4(双唛带晶振）</t>
    <phoneticPr fontId="1" type="noConversion"/>
  </si>
  <si>
    <t>https://item.taobao.com/item.htm?id=952138675137&amp;mi_id=0000zkinACbpNomIJs5UvAFFr0wcooBajwhsmwmrgc3ggKs&amp;spm=tbpc.boughtlist.suborder_itemtitle.1.631b2e8dq9wl11&amp;skuId=6038334654547</t>
    <phoneticPr fontId="1" type="noConversion"/>
  </si>
  <si>
    <t>迷你腔体喇叭</t>
    <phoneticPr fontId="1" type="noConversion"/>
  </si>
  <si>
    <t>2520侧发腔体8欧1W[线长60MM]</t>
    <phoneticPr fontId="1" type="noConversion"/>
  </si>
  <si>
    <t>https://item.taobao.com/item.htm?id=934477502146&amp;mi_id=00002269D97fStu1Cf5He23aBjjZGgl8iJifc6nMnkbdYhc&amp;spm=tbpc.boughtlist.suborder_itemtitle.1.631b2e8dq9wl11&amp;skuId=5991062074876</t>
    <phoneticPr fontId="1" type="noConversion"/>
  </si>
  <si>
    <t xml:space="preserve">高灵敏度咪头 </t>
    <phoneticPr fontId="1" type="noConversion"/>
  </si>
  <si>
    <t>26DB 6050P带针直插</t>
    <phoneticPr fontId="1" type="noConversion"/>
  </si>
  <si>
    <t>1.25mm间距连接器</t>
    <phoneticPr fontId="1" type="noConversion"/>
  </si>
  <si>
    <t>https://item.taobao.com/item.htm?id=528813512664&amp;mi_id=00001eF1qPM0hO0NKWVE8P0HE_p3pnRCLiRHpvqsJzhj6Dw&amp;spm=tbpc.boughtlist.suborder_itemtitle.1.631b2e8dq9wl11&amp;skuId=5946012035785</t>
    <phoneticPr fontId="1" type="noConversion"/>
  </si>
  <si>
    <t>自稳与导航(选配)</t>
    <phoneticPr fontId="1" type="noConversion"/>
  </si>
  <si>
    <t>MPU-6500 (自稳功能)</t>
    <phoneticPr fontId="1" type="noConversion"/>
  </si>
  <si>
    <t>15*25mm尺寸 (跟下一栏二选一)</t>
    <phoneticPr fontId="1" type="noConversion"/>
  </si>
  <si>
    <t>https://item.taobao.com/item.htm?ali_refid=a3_430582_1006%3A1121464922%3AH%3A4tjgc5NplKzS%2FKtP45lGIA%3D%3D%3Aac9fc5f13f31effb230ecf2495d5ab13&amp;ali_trackid=318_ac9fc5f13f31effb230ecf2495d5ab13&amp;id=946464672201&amp;mi_id=0000kcYIv4PIY3mBn6l5RCPrOboV36KlReD3sRaxUdyov_w&amp;mm_sceneid=0_0_111680763_0&amp;priceTId=2100c81917872054981918987e0ac6&amp;spm=a21n57.1.hoverItem.1&amp;utparam=%7B%22aplus_abtest%22%3A%22010686e7ebe3b2e66696dadaa7d76b44%22%7D&amp;xxc=ad_ztc</t>
    <phoneticPr fontId="1" type="noConversion"/>
  </si>
  <si>
    <t>MPU-9250 (自稳+航向控制)</t>
    <phoneticPr fontId="1" type="noConversion"/>
  </si>
  <si>
    <t>15*25mm尺寸 原装带地磁 (跟上一栏二选一)</t>
    <phoneticPr fontId="1" type="noConversion"/>
  </si>
  <si>
    <t>https://item.taobao.com/item.htm?abbucket=5&amp;id=561115648587&amp;mi_id=0000oPG8l0Rr8aAfyzkSFYvI9s1LriUD0sE8yXtU7scHXzc&amp;ns=1&amp;priceTId=2100c81917872057276736270e0ac6&amp;skuId=4707027301382&amp;spm=a21n57.1.hoverItem.2&amp;utparam=%7B%22aplus_abtest%22%3A%2209576fd0cd5a6b6b965385e6363d59ac%22%7D&amp;xxc=taobaoSearch</t>
    <phoneticPr fontId="1" type="noConversion"/>
  </si>
  <si>
    <t>摄像头(选配)</t>
    <phoneticPr fontId="1" type="noConversion"/>
  </si>
  <si>
    <t>OV2640摄像头模组</t>
  </si>
  <si>
    <t>75MM-120°广角镜头 数据线加长</t>
    <phoneticPr fontId="1" type="noConversion"/>
  </si>
  <si>
    <t>https://item.taobao.com/item.htm?id=742488298977&amp;mi_id=0000kxQPBgs1Aoguhd6opDrnhIzeWUhLnIypYZBnfJ-xE-o&amp;skuId=5118875704520&amp;spm=tbpc.boughtlist.suborder_itemtitle.1.31692e8dbTREEQ</t>
    <phoneticPr fontId="1" type="noConversion"/>
  </si>
  <si>
    <t>AI视觉模块(选配)</t>
    <phoneticPr fontId="1" type="noConversion"/>
  </si>
  <si>
    <t>K210 AI视觉模块</t>
    <phoneticPr fontId="1" type="noConversion"/>
  </si>
  <si>
    <t>188~260</t>
    <phoneticPr fontId="1" type="noConversion"/>
  </si>
  <si>
    <t>1.25mm间距连接器</t>
  </si>
  <si>
    <t>https://item.taobao.com/item.htm?id=528813512664&amp;mi_id=00001eF1qPM0hO0NKWVE8P0HE_p3pnRCLiRHpvqsJzhj6Dw&amp;skuId=5946012035783&amp;spm=tbpc.boughtlist.suborder_itemtitle.1.631b2e8dq9wl11</t>
  </si>
  <si>
    <r>
      <rPr>
        <sz val="11"/>
        <color rgb="FF000000"/>
        <rFont val="宋体"/>
        <charset val="134"/>
        <scheme val="minor"/>
      </rPr>
      <t>0.6元</t>
    </r>
    <r>
      <rPr>
        <sz val="11"/>
        <color rgb="FFFF0000"/>
        <rFont val="宋体"/>
        <charset val="134"/>
        <scheme val="minor"/>
      </rPr>
      <t>10只</t>
    </r>
    <r>
      <rPr>
        <sz val="11"/>
        <color rgb="FF000000"/>
        <rFont val="宋体"/>
        <charset val="134"/>
        <scheme val="minor"/>
      </rPr>
      <t xml:space="preserve">  4P直针直插母座</t>
    </r>
  </si>
  <si>
    <r>
      <rPr>
        <sz val="11"/>
        <color rgb="FF000000"/>
        <rFont val="宋体"/>
        <charset val="134"/>
        <scheme val="minor"/>
      </rPr>
      <t>0.33元</t>
    </r>
    <r>
      <rPr>
        <sz val="11"/>
        <color rgb="FFFF0000"/>
        <rFont val="宋体"/>
        <charset val="134"/>
        <scheme val="minor"/>
      </rPr>
      <t>10只</t>
    </r>
    <r>
      <rPr>
        <sz val="11"/>
        <color rgb="FF000000"/>
        <rFont val="宋体"/>
        <charset val="134"/>
        <scheme val="minor"/>
      </rPr>
      <t xml:space="preserve"> 2P直针直插母座</t>
    </r>
  </si>
  <si>
    <t>钽电容 100uf 10V</t>
  </si>
  <si>
    <t>3528贴片钽电容B型 100uf 10V</t>
  </si>
  <si>
    <t>https://item.taobao.com/item.htm?id=621641593613&amp;mi_id=0000uWlHXNd2nXEHQGSG_q39BKVwj11xE7ODTkaysUNVlKg&amp;spm=tbpc.boughtlist.suborder_itemtitle.1.78cb2e8dpjavhn</t>
  </si>
  <si>
    <t>贴片电容 104 封装0603</t>
    <phoneticPr fontId="1" type="noConversion"/>
  </si>
  <si>
    <t>https://item.taobao.com/item.htm?id=537669338432&amp;mi_id=0000qMX2Q84Mjt_RkSE9OB7cWTPE6w1-SByKaHOGTG730TQ&amp;skuId=5720849848291&amp;spm=a312a.7700824.w4002-24706531953.10.7fbd6a4b8rC7x1</t>
    <phoneticPr fontId="1" type="noConversion"/>
  </si>
  <si>
    <t>安装工具</t>
    <phoneticPr fontId="1" type="noConversion"/>
  </si>
  <si>
    <t>语音文件烧写工具</t>
    <phoneticPr fontId="1" type="noConversion"/>
  </si>
  <si>
    <t>1.25间距排线</t>
    <phoneticPr fontId="1" type="noConversion"/>
  </si>
  <si>
    <t>USB转TTL CH340串口模块</t>
    <phoneticPr fontId="1" type="noConversion"/>
  </si>
  <si>
    <t>串口模块用来烧写语音识别文件</t>
    <phoneticPr fontId="1" type="noConversion"/>
  </si>
  <si>
    <t>1.61元5只</t>
    <phoneticPr fontId="1" type="noConversion"/>
  </si>
  <si>
    <t>https://item.taobao.com/item.htm?id=565486361121&amp;mi_id=0000E37qBnPMj4vNyS4t-KrTSQ4U-fEzr9vh9JOv__ayrtU&amp;skuId=4872047425532&amp;spm=tbpc.boughtlist.suborder_itemtitle.1.4e102e8d0Cwdrn</t>
    <phoneticPr fontId="1" type="noConversion"/>
  </si>
  <si>
    <t>https://item.taobao.com/item.htm?id=995389737004&amp;mi_id=0000EzEHS497f89SCMWoT63GJafr7hz7hjXK5ygMh34_r7w&amp;spm=a312a.7700824.w4002-24706531953.17.4ddb6a4bTVmlho</t>
    <phoneticPr fontId="1" type="noConversion"/>
  </si>
  <si>
    <t>工具成本</t>
    <phoneticPr fontId="1" type="noConversion"/>
  </si>
  <si>
    <t>100nf</t>
    <phoneticPr fontId="1" type="noConversion"/>
  </si>
  <si>
    <t>https://item.taobao.com/item.htm?id=537669338432&amp;mi_id=0000qMX2Q84Mjt_RkSE9OB7cWTPE6w1-SByKaHOGTG730TQ&amp;spm=a312a.7700824.w4002-24706531953.10.7fbd6a4b8rC7x1&amp;skuId=5720849848291</t>
    <phoneticPr fontId="1" type="noConversion"/>
  </si>
  <si>
    <t>材料成本总和</t>
    <phoneticPr fontId="1" type="noConversion"/>
  </si>
  <si>
    <t>工具成本总和</t>
    <phoneticPr fontId="1" type="noConversion"/>
  </si>
  <si>
    <r>
      <t xml:space="preserve"> 1.65元</t>
    </r>
    <r>
      <rPr>
        <sz val="11"/>
        <color rgb="FFFF0000"/>
        <rFont val="宋体"/>
        <family val="3"/>
        <charset val="134"/>
        <scheme val="minor"/>
      </rPr>
      <t>20个</t>
    </r>
    <r>
      <rPr>
        <sz val="11"/>
        <color theme="1"/>
        <rFont val="宋体"/>
        <family val="2"/>
        <scheme val="minor"/>
      </rPr>
      <t xml:space="preserve"> 3MM柄高三脚/两档侧脚支架(多备份一个)</t>
    </r>
    <phoneticPr fontId="1" type="noConversion"/>
  </si>
  <si>
    <t>版本更新时间</t>
    <phoneticPr fontId="1" type="noConversion"/>
  </si>
  <si>
    <t>20261009 by Bob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</si>
</sst>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theme="0" tint="-0.34998626667073579"/>
      <name val="宋体"/>
      <family val="2"/>
      <scheme val="minor"/>
    </font>
    <font>
      <u/>
      <sz val="11"/>
      <color theme="0" tint="-0.34998626667073579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2" borderId="0" xfId="0" applyFill="1"/>
    <xf numFmtId="0" fontId="2" fillId="2" borderId="1" xfId="1" applyFill="1" applyBorder="1"/>
    <xf numFmtId="0" fontId="0" fillId="3" borderId="0" xfId="0" applyFill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2" fillId="3" borderId="1" xfId="1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4" borderId="0" xfId="0" applyFill="1"/>
    <xf numFmtId="0" fontId="2" fillId="4" borderId="1" xfId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0" fontId="0" fillId="6" borderId="0" xfId="0" applyFill="1"/>
    <xf numFmtId="0" fontId="4" fillId="6" borderId="1" xfId="0" applyFont="1" applyFill="1" applyBorder="1"/>
    <xf numFmtId="0" fontId="5" fillId="2" borderId="1" xfId="1" applyFont="1" applyFill="1" applyBorder="1"/>
    <xf numFmtId="0" fontId="5" fillId="6" borderId="1" xfId="1" applyFont="1" applyFill="1" applyBorder="1"/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/>
    <xf numFmtId="0" fontId="7" fillId="5" borderId="1" xfId="1" applyFont="1" applyFill="1" applyBorder="1"/>
    <xf numFmtId="0" fontId="6" fillId="5" borderId="0" xfId="0" applyFont="1" applyFill="1"/>
    <xf numFmtId="0" fontId="6" fillId="7" borderId="1" xfId="0" applyFont="1" applyFill="1" applyBorder="1"/>
    <xf numFmtId="0" fontId="6" fillId="7" borderId="1" xfId="0" applyFont="1" applyFill="1" applyBorder="1" applyAlignment="1">
      <alignment horizontal="center"/>
    </xf>
    <xf numFmtId="0" fontId="7" fillId="7" borderId="1" xfId="1" applyFont="1" applyFill="1" applyBorder="1"/>
    <xf numFmtId="0" fontId="0" fillId="7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5" fillId="7" borderId="1" xfId="1" applyFont="1" applyFill="1" applyBorder="1"/>
    <xf numFmtId="0" fontId="0" fillId="8" borderId="0" xfId="0" applyFill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/>
    <xf numFmtId="0" fontId="0" fillId="4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3" borderId="1" xfId="0" applyFill="1" applyBorder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tem.taobao.com/item.htm?id=537669338432&amp;mi_id=0000qMX2Q84Mjt_RkSE9OB7cWTPE6w1-SByKaHOGTG730TQ&amp;skuId=5720849848291&amp;spm=a312a.7700824.w4002-24706531953.10.7fbd6a4b8rC7x1" TargetMode="External"/><Relationship Id="rId18" Type="http://schemas.openxmlformats.org/officeDocument/2006/relationships/hyperlink" Target="https://item.taobao.com/item.htm?id=536883088300&amp;mi_id=0000Fk2jsvTXv0_91fduj0djpRpfck_qth1yoQf1StqinlA&amp;spm=tbpc.boughtlist.suborder_itemtitle.1.27762e8dHSi75l" TargetMode="External"/><Relationship Id="rId26" Type="http://schemas.openxmlformats.org/officeDocument/2006/relationships/hyperlink" Target="https://item.taobao.com/item.htm?id=522577284045&amp;mi_id=0000MlX6BBnEf1PqbyHCZMk6B2sLF90HYusbLva4RGq3gvI&amp;skuId=5867078106849&amp;spm=a312a.7700824.w4002-24706531953.12.ace86a4bwrQK5F" TargetMode="External"/><Relationship Id="rId3" Type="http://schemas.openxmlformats.org/officeDocument/2006/relationships/hyperlink" Target="https://item.taobao.com/item.htm?id=729994086624&amp;mi_id=0000Q8wH8oz0prNi-NfZhS8TM1LMfMfJvoIHg7rzT2Ym4Cg&amp;skuId=5228596874362&amp;spm=tbpc.boughtlist.suborder_itemtitle.1.631b2e8dq9wl11" TargetMode="External"/><Relationship Id="rId21" Type="http://schemas.openxmlformats.org/officeDocument/2006/relationships/hyperlink" Target="https://item.taobao.com/item.htm?id=895068044567&amp;mi_id=0000grT-tRrcBYjWnlLONRVNKjT74Vgw4UgUQMnu47NMTAc&amp;skuId=5912330687876&amp;spm=tbpc.boughtlist.suborder_itemtitle.1.591e2e8dBFQBpZ" TargetMode="External"/><Relationship Id="rId34" Type="http://schemas.openxmlformats.org/officeDocument/2006/relationships/hyperlink" Target="https://item.taobao.com/item.htm?id=621641593613&amp;mi_id=0000uWlHXNd2nXEHQGSG_q39BKVwj11xE7ODTkaysUNVlKg&amp;spm=tbpc.boughtlist.suborder_itemtitle.1.78cb2e8dpjavhn" TargetMode="External"/><Relationship Id="rId7" Type="http://schemas.openxmlformats.org/officeDocument/2006/relationships/hyperlink" Target="https://item.taobao.com/item.htm?id=580182476316&amp;mi_id=0000HBL15R5mbJMppf7uiYVxPYMSDAwwKg7AEeKN4aG1-cU&amp;spm=tbpc.boughtlist.suborder_itemtitle.1.591e2e8dBFQBpZ&amp;skuId=5053246733501" TargetMode="External"/><Relationship Id="rId12" Type="http://schemas.openxmlformats.org/officeDocument/2006/relationships/hyperlink" Target="https://item.taobao.com/item.htm?id=952138675137&amp;mi_id=0000zkinACbpNomIJs5UvAFFr0wcooBajwhsmwmrgc3ggKs&amp;spm=tbpc.boughtlist.suborder_itemtitle.1.631b2e8dq9wl11&amp;skuId=6038334654547" TargetMode="External"/><Relationship Id="rId17" Type="http://schemas.openxmlformats.org/officeDocument/2006/relationships/hyperlink" Target="https://item.taobao.com/item.htm?id=553223118722&amp;mi_id=0000A2FrJV-v8Z-HSN3EEuRG6KDebBNDEKNLIoQfwcge3FA&amp;spm=tbpc.boughtlist.suborder_itemtitle.1.27762e8dHSi75l&amp;skuId=5947676967153" TargetMode="External"/><Relationship Id="rId25" Type="http://schemas.openxmlformats.org/officeDocument/2006/relationships/hyperlink" Target="https://item.taobao.com/item.htm?id=522573990110&amp;mi_id=0000Xqje-89Hy7NfjdqQdReDCHc1wNmyG78SQq8FvZ87Tfw&amp;spm=tbpc.boughtlist.suborder_itemtitle.1.591e2e8dBFQBpZ" TargetMode="External"/><Relationship Id="rId33" Type="http://schemas.openxmlformats.org/officeDocument/2006/relationships/hyperlink" Target="https://item.taobao.com/item.htm?id=528813512664&amp;mi_id=00001eF1qPM0hO0NKWVE8P0HE_p3pnRCLiRHpvqsJzhj6Dw&amp;skuId=5946012035783&amp;spm=tbpc.boughtlist.suborder_itemtitle.1.631b2e8dq9wl11" TargetMode="External"/><Relationship Id="rId2" Type="http://schemas.openxmlformats.org/officeDocument/2006/relationships/hyperlink" Target="https://item.taobao.com/item.htm?id=729994086624&amp;mi_id=0000Q8wH8oz0prNi-NfZhS8TM1LMfMfJvoIHg7rzT2Ym4Cg&amp;skuId=5228596874363&amp;spm=tbpc.boughtlist.suborder_itemtitle.1.631b2e8dq9wl11" TargetMode="External"/><Relationship Id="rId16" Type="http://schemas.openxmlformats.org/officeDocument/2006/relationships/hyperlink" Target="https://item.taobao.com/item.htm?abbucket=5&amp;id=561115648587&amp;mi_id=0000oPG8l0Rr8aAfyzkSFYvI9s1LriUD0sE8yXtU7scHXzc&amp;ns=1&amp;priceTId=2100c81917872057276736270e0ac6&amp;skuId=4707027301382&amp;spm=a21n57.1.hoverItem.2&amp;utparam=%7B%22aplus_abtest%22%3A%2209576fd0cd5a6b6b965385e6363d59ac%22%7D&amp;xxc=taobaoSearch" TargetMode="External"/><Relationship Id="rId20" Type="http://schemas.openxmlformats.org/officeDocument/2006/relationships/hyperlink" Target="https://item.taobao.com/item.htm?id=522577284045&amp;mi_id=0000MlX6BBnEf1PqbyHCZMk6B2sLF90HYusbLva4RGq3gvI&amp;skuId=5867830074660&amp;spm=a312a.7700824.w4002-24706531953.12.ace86a4bwrQK5F" TargetMode="External"/><Relationship Id="rId29" Type="http://schemas.openxmlformats.org/officeDocument/2006/relationships/hyperlink" Target="https://item.taobao.com/item.htm?abbucket=5&amp;id=705594451564&amp;mi_id=0000jXnwBC4jwHlI2aIU0_IEJHM5Bm_8ptrhSnnhpY4seXw&amp;ns=1&amp;priceTId=2100c91317872039226376258e0a2a&amp;skuId=5135814551305&amp;spm=a21n57.1.hoverItem.11&amp;utparam=%7B%22aplus_abtest%22%3A%22d27fed187366cc94e8415caaa95df342%22%7D&amp;xxc=taobaoSearch" TargetMode="External"/><Relationship Id="rId1" Type="http://schemas.openxmlformats.org/officeDocument/2006/relationships/hyperlink" Target="https://item.taobao.com/item.htm?from=cart&amp;id=521487027221&amp;mi_id=0000BbDS-STP6-lD3EVJDpZraWcXKmUZIxXLb0TONPcwcH0&amp;skuId=5041535711777&amp;spm=a1z0d.6639537%2F202410.item.d521487027221.515d74849WtgIU&amp;upStreamPrice=1200" TargetMode="External"/><Relationship Id="rId6" Type="http://schemas.openxmlformats.org/officeDocument/2006/relationships/hyperlink" Target="https://item.taobao.com/item.htm?id=522579508313&amp;mi_id=0000XDNNHTAdgJgmBv-P9tN6aCisSN4DvJnNP5VOs_GyMoY&amp;spm=tbpc.boughtlist.suborder_itemtitle.1.631b2e8dq9wl11" TargetMode="External"/><Relationship Id="rId11" Type="http://schemas.openxmlformats.org/officeDocument/2006/relationships/hyperlink" Target="https://item.taobao.com/item.htm?id=934477502146&amp;mi_id=00002269D97fStu1Cf5He23aBjjZGgl8iJifc6nMnkbdYhc&amp;spm=tbpc.boughtlist.suborder_itemtitle.1.631b2e8dq9wl11&amp;skuId=5991062074876" TargetMode="External"/><Relationship Id="rId24" Type="http://schemas.openxmlformats.org/officeDocument/2006/relationships/hyperlink" Target="https://item.taobao.com/item.htm?id=742488298977&amp;mi_id=0000kxQPBgs1Aoguhd6opDrnhIzeWUhLnIypYZBnfJ-xE-o&amp;skuId=5118875704520&amp;spm=tbpc.boughtlist.suborder_itemtitle.1.31692e8dbTREEQ" TargetMode="External"/><Relationship Id="rId32" Type="http://schemas.openxmlformats.org/officeDocument/2006/relationships/hyperlink" Target="https://item.taobao.com/item.htm?id=549646686749&amp;mi_id=00007xkVLVT3RkJmx_pXo2fAdkt3ww80aMq_h-rqwSI0tTc&amp;spm=tbpc.boughtlist.suborder_itemtitle.1.27762e8dHSi75l" TargetMode="External"/><Relationship Id="rId5" Type="http://schemas.openxmlformats.org/officeDocument/2006/relationships/hyperlink" Target="https://item.taobao.com/item.htm?id=684691568738&amp;mi_id=0000ng5zFv9W4YW6GV7er_RIRTyGBYg3HZsnQmJp3Y91N-c&amp;spm=tbpc.boughtlist.suborder_itemtitle.1.631b2e8dq9wl11" TargetMode="External"/><Relationship Id="rId15" Type="http://schemas.openxmlformats.org/officeDocument/2006/relationships/hyperlink" Target="https://item.taobao.com/item.htm?ali_refid=a3_430582_1006%3A1121464922%3AH%3A4tjgc5NplKzS%2FKtP45lGIA%3D%3D%3Aac9fc5f13f31effb230ecf2495d5ab13&amp;ali_trackid=318_ac9fc5f13f31effb230ecf2495d5ab13&amp;id=946464672201&amp;mi_id=0000kcYIv4PIY3mBn6l5RCPrOboV36KlReD3sRaxUdyov_w&amp;mm_sceneid=0_0_111680763_0&amp;priceTId=2100c81917872054981918987e0ac6&amp;spm=a21n57.1.hoverItem.1&amp;utparam=%7B%22aplus_abtest%22%3A%22010686e7ebe3b2e66696dadaa7d76b44%22%7D&amp;xxc=ad_ztc" TargetMode="External"/><Relationship Id="rId23" Type="http://schemas.openxmlformats.org/officeDocument/2006/relationships/hyperlink" Target="https://item.taobao.com/item.htm?id=796899813635&amp;mi_id=0000o5i83iiBvSBtEJysGu9gD5pUJNlXhuELonw7GyKaLig&amp;spm=tbpc.boughtlist.suborder_itemtitle.1.591e2e8dBFQBpZ&amp;skuId=5602995759850" TargetMode="External"/><Relationship Id="rId28" Type="http://schemas.openxmlformats.org/officeDocument/2006/relationships/hyperlink" Target="https://item.taobao.com/item.htm?id=522554271548&amp;mi_id=0000Vq6wuAVN0A2AAbWoej4u96y9k5vDhW31NPee86TMpDA&amp;skuId=5766142345186&amp;spm=a312a.7700824.w4002-24706531953.10.191f6a4bQxhbJX" TargetMode="External"/><Relationship Id="rId36" Type="http://schemas.openxmlformats.org/officeDocument/2006/relationships/hyperlink" Target="https://item.taobao.com/item.htm?id=995389737004&amp;mi_id=0000EzEHS497f89SCMWoT63GJafr7hz7hjXK5ygMh34_r7w&amp;spm=a312a.7700824.w4002-24706531953.17.4ddb6a4bTVmlho" TargetMode="External"/><Relationship Id="rId10" Type="http://schemas.openxmlformats.org/officeDocument/2006/relationships/hyperlink" Target="https://detail.tmall.com/item.htm?id=534887654065&amp;mi_id=0000QpiWsslwyDdwPVkVZReUf89LCNVKzdcMk0M1nR39PYM&amp;skuId=5995319965372&amp;spm=tbpc.boughtlist.suborder_itemtitle.1.631b2e8dq9wl11" TargetMode="External"/><Relationship Id="rId19" Type="http://schemas.openxmlformats.org/officeDocument/2006/relationships/hyperlink" Target="https://item.taobao.com/item.htm?id=522577284045&amp;mi_id=0000MlX6BBnEf1PqbyHCZMk6B2sLF90HYusbLva4RGq3gvI&amp;spm=a312a.7700824.w4002-24706531953.12.ace86a4bwrQK5F&amp;skuId=5867078106846" TargetMode="External"/><Relationship Id="rId31" Type="http://schemas.openxmlformats.org/officeDocument/2006/relationships/hyperlink" Target="https://item.taobao.com/item.htm?id=537669338432&amp;mi_id=0000qMX2Q84Mjt_RkSE9OB7cWTPE6w1-SByKaHOGTG730TQ&amp;spm=a312a.7700824.w4002-24706531953.10.7fbd6a4b8rC7x1&amp;skuId=5720849848291" TargetMode="External"/><Relationship Id="rId4" Type="http://schemas.openxmlformats.org/officeDocument/2006/relationships/hyperlink" Target="https://detail.tmall.com/item.htm?id=565179441912&amp;mi_id=0000qAvYt8p_0Nd1wudDUho-sVXtWSavB3ZXDbx6lw8yaGs&amp;spm=tbpc.boughtlist.suborder_itemtitle.1.631b2e8dq9wl11&amp;skuId=4609913388270" TargetMode="External"/><Relationship Id="rId9" Type="http://schemas.openxmlformats.org/officeDocument/2006/relationships/hyperlink" Target="https://detail.tmall.com/item.htm?id=535509636505&amp;mi_id=0000ZtF4JMxAPdtwiXXJ9lVDm07WcN5-2dLGK3i3NMDq3_Y&amp;spm=tbpc.boughtlist.suborder_itemtitle.1.631b2e8dq9wl11&amp;skuId=5099212918856" TargetMode="External"/><Relationship Id="rId14" Type="http://schemas.openxmlformats.org/officeDocument/2006/relationships/hyperlink" Target="https://item.taobao.com/item.htm?id=528813512664&amp;mi_id=00001eF1qPM0hO0NKWVE8P0HE_p3pnRCLiRHpvqsJzhj6Dw&amp;spm=tbpc.boughtlist.suborder_itemtitle.1.631b2e8dq9wl11&amp;skuId=5946012035785" TargetMode="External"/><Relationship Id="rId22" Type="http://schemas.openxmlformats.org/officeDocument/2006/relationships/hyperlink" Target="https://item.taobao.com/item.htm?id=673368613915&amp;mi_id=0000PaukOC42I-MGojwwc5siwyvqu1an-thQUNsjB2HlKOg&amp;skuId=5022626707728&amp;spm=tbpc.boughtlist.suborder_itemtitle.1.591e2e8dBFQBpZ" TargetMode="External"/><Relationship Id="rId27" Type="http://schemas.openxmlformats.org/officeDocument/2006/relationships/hyperlink" Target="https://item.taobao.com/item.htm?id=522577284045&amp;mi_id=0000MlX6BBnEf1PqbyHCZMk6B2sLF90HYusbLva4RGq3gvI&amp;skuId=5867078106878&amp;spm=a312a.7700824.w4002-24706531953.12.ace86a4bwrQK5F" TargetMode="External"/><Relationship Id="rId30" Type="http://schemas.openxmlformats.org/officeDocument/2006/relationships/hyperlink" Target="https://item.taobao.com/item.htm?id=775606194713&amp;mi_id=0000J9eC9nvykx-Ena157hIiPFe78lnam8hFU-VAtzRAxkA&amp;skuId=5473103418758&amp;spm=a21xtw.29978516.0.0&amp;xxc=shop" TargetMode="External"/><Relationship Id="rId35" Type="http://schemas.openxmlformats.org/officeDocument/2006/relationships/hyperlink" Target="https://item.taobao.com/item.htm?id=565486361121&amp;mi_id=0000E37qBnPMj4vNyS4t-KrTSQ4U-fEzr9vh9JOv__ayrtU&amp;skuId=4872047425532&amp;spm=tbpc.boughtlist.suborder_itemtitle.1.4e102e8d0Cwdrn" TargetMode="External"/><Relationship Id="rId8" Type="http://schemas.openxmlformats.org/officeDocument/2006/relationships/hyperlink" Target="https://detail.tmall.com/item.htm?id=743676697133&amp;mi_id=0000bMSNH6AzI_BWOACssYagPcJmKP7z3x107rJ7ZeLRmKo&amp;spm=tbpc.boughtlist.suborder_itemtitle.1.631b2e8dq9wl11&amp;skuId=52987522748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workbookViewId="0">
      <selection activeCell="D23" sqref="D23"/>
    </sheetView>
  </sheetViews>
  <sheetFormatPr defaultRowHeight="13.5" x14ac:dyDescent="0.3"/>
  <cols>
    <col min="1" max="1" width="20" customWidth="1"/>
    <col min="2" max="2" width="38.3984375" customWidth="1"/>
    <col min="3" max="5" width="20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7</v>
      </c>
    </row>
    <row r="5" spans="1:2" x14ac:dyDescent="0.3">
      <c r="A5" t="s">
        <v>8</v>
      </c>
      <c r="B5" t="s">
        <v>9</v>
      </c>
    </row>
    <row r="6" spans="1:2" x14ac:dyDescent="0.3">
      <c r="A6" t="s">
        <v>10</v>
      </c>
      <c r="B6" t="s">
        <v>11</v>
      </c>
    </row>
    <row r="7" spans="1:2" x14ac:dyDescent="0.3">
      <c r="A7" t="s">
        <v>12</v>
      </c>
      <c r="B7" t="s">
        <v>13</v>
      </c>
    </row>
    <row r="8" spans="1:2" x14ac:dyDescent="0.3">
      <c r="A8" t="s">
        <v>14</v>
      </c>
      <c r="B8" t="s">
        <v>15</v>
      </c>
    </row>
    <row r="9" spans="1:2" x14ac:dyDescent="0.3">
      <c r="A9" t="s">
        <v>16</v>
      </c>
      <c r="B9" t="s">
        <v>17</v>
      </c>
    </row>
    <row r="10" spans="1:2" x14ac:dyDescent="0.3">
      <c r="A10" t="s">
        <v>18</v>
      </c>
      <c r="B10" t="s">
        <v>19</v>
      </c>
    </row>
    <row r="12" spans="1:2" x14ac:dyDescent="0.3">
      <c r="A12" t="s">
        <v>20</v>
      </c>
      <c r="B12" t="s">
        <v>21</v>
      </c>
    </row>
    <row r="13" spans="1:2" x14ac:dyDescent="0.3">
      <c r="A13" t="s">
        <v>22</v>
      </c>
      <c r="B13" t="s">
        <v>23</v>
      </c>
    </row>
    <row r="14" spans="1:2" x14ac:dyDescent="0.3">
      <c r="A14" t="s">
        <v>24</v>
      </c>
      <c r="B14" t="s">
        <v>25</v>
      </c>
    </row>
    <row r="15" spans="1:2" x14ac:dyDescent="0.3">
      <c r="A15" t="s">
        <v>26</v>
      </c>
      <c r="B15">
        <v>473</v>
      </c>
    </row>
    <row r="16" spans="1:2" x14ac:dyDescent="0.3">
      <c r="A16" t="s">
        <v>27</v>
      </c>
      <c r="B16" t="s">
        <v>28</v>
      </c>
    </row>
    <row r="17" spans="1:2" x14ac:dyDescent="0.3">
      <c r="A17" t="s">
        <v>29</v>
      </c>
      <c r="B17" t="s">
        <v>30</v>
      </c>
    </row>
    <row r="18" spans="1:2" x14ac:dyDescent="0.3">
      <c r="A18" t="s">
        <v>31</v>
      </c>
      <c r="B18" t="s">
        <v>32</v>
      </c>
    </row>
    <row r="20" spans="1:2" x14ac:dyDescent="0.3">
      <c r="A20" t="s">
        <v>33</v>
      </c>
      <c r="B20" t="s">
        <v>34</v>
      </c>
    </row>
    <row r="21" spans="1:2" x14ac:dyDescent="0.3">
      <c r="A21" t="s">
        <v>35</v>
      </c>
      <c r="B21" t="s">
        <v>36</v>
      </c>
    </row>
    <row r="22" spans="1:2" x14ac:dyDescent="0.3">
      <c r="A22" t="s">
        <v>37</v>
      </c>
      <c r="B22" t="s">
        <v>38</v>
      </c>
    </row>
    <row r="23" spans="1:2" x14ac:dyDescent="0.3">
      <c r="A23" t="s">
        <v>39</v>
      </c>
      <c r="B23" t="s">
        <v>40</v>
      </c>
    </row>
    <row r="24" spans="1:2" x14ac:dyDescent="0.3">
      <c r="A24">
        <v>25</v>
      </c>
      <c r="B24" t="s">
        <v>41</v>
      </c>
    </row>
    <row r="25" spans="1:2" x14ac:dyDescent="0.3">
      <c r="A25" t="s">
        <v>42</v>
      </c>
    </row>
  </sheetData>
  <phoneticPr fontId="1" type="noConversion"/>
  <printOptions gridLines="1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59D22-7165-4465-BD9A-1DE7905AF958}">
  <dimension ref="A1:F43"/>
  <sheetViews>
    <sheetView tabSelected="1" zoomScale="90" zoomScaleNormal="90" workbookViewId="0">
      <selection activeCell="D47" sqref="D47"/>
    </sheetView>
  </sheetViews>
  <sheetFormatPr defaultRowHeight="13.5" x14ac:dyDescent="0.3"/>
  <cols>
    <col min="1" max="1" width="20.3984375" customWidth="1"/>
    <col min="2" max="2" width="31.265625" customWidth="1"/>
    <col min="3" max="3" width="18.86328125" style="1" customWidth="1"/>
    <col min="4" max="4" width="15.86328125" style="1" customWidth="1"/>
    <col min="5" max="5" width="49.1328125" customWidth="1"/>
    <col min="6" max="6" width="43.73046875" customWidth="1"/>
  </cols>
  <sheetData>
    <row r="1" spans="1:6" s="3" customFormat="1" x14ac:dyDescent="0.3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</row>
    <row r="2" spans="1:6" s="6" customFormat="1" x14ac:dyDescent="0.3">
      <c r="A2" s="34" t="s">
        <v>49</v>
      </c>
      <c r="B2" s="4" t="s">
        <v>50</v>
      </c>
      <c r="C2" s="5">
        <v>10</v>
      </c>
      <c r="D2" s="5">
        <v>8</v>
      </c>
      <c r="E2" s="4" t="s">
        <v>51</v>
      </c>
      <c r="F2" s="7" t="s">
        <v>52</v>
      </c>
    </row>
    <row r="3" spans="1:6" s="6" customFormat="1" x14ac:dyDescent="0.3">
      <c r="A3" s="34"/>
      <c r="B3" s="4" t="s">
        <v>53</v>
      </c>
      <c r="C3" s="5">
        <v>1</v>
      </c>
      <c r="D3" s="5">
        <v>25</v>
      </c>
      <c r="E3" s="4" t="s">
        <v>54</v>
      </c>
      <c r="F3" s="7" t="s">
        <v>55</v>
      </c>
    </row>
    <row r="4" spans="1:6" s="6" customFormat="1" x14ac:dyDescent="0.3">
      <c r="A4" s="34"/>
      <c r="B4" s="4" t="s">
        <v>56</v>
      </c>
      <c r="C4" s="5">
        <v>1</v>
      </c>
      <c r="D4" s="5">
        <v>37</v>
      </c>
      <c r="E4" s="4" t="s">
        <v>57</v>
      </c>
      <c r="F4" s="7" t="s">
        <v>58</v>
      </c>
    </row>
    <row r="5" spans="1:6" s="6" customFormat="1" x14ac:dyDescent="0.3">
      <c r="A5" s="34"/>
      <c r="B5" s="4" t="s">
        <v>59</v>
      </c>
      <c r="C5" s="5">
        <v>1</v>
      </c>
      <c r="D5" s="5">
        <v>12</v>
      </c>
      <c r="E5" s="4" t="s">
        <v>60</v>
      </c>
      <c r="F5" s="7" t="s">
        <v>61</v>
      </c>
    </row>
    <row r="6" spans="1:6" s="6" customFormat="1" x14ac:dyDescent="0.3">
      <c r="A6" s="34"/>
      <c r="B6" s="4" t="s">
        <v>62</v>
      </c>
      <c r="C6" s="5">
        <v>3</v>
      </c>
      <c r="D6" s="5">
        <v>1.5</v>
      </c>
      <c r="E6" s="4" t="s">
        <v>63</v>
      </c>
      <c r="F6" s="20" t="s">
        <v>64</v>
      </c>
    </row>
    <row r="7" spans="1:6" s="6" customFormat="1" x14ac:dyDescent="0.3">
      <c r="A7" s="34"/>
      <c r="B7" s="4" t="s">
        <v>65</v>
      </c>
      <c r="C7" s="5">
        <v>1</v>
      </c>
      <c r="D7" s="5">
        <v>0.52</v>
      </c>
      <c r="E7" s="4" t="s">
        <v>66</v>
      </c>
      <c r="F7" s="20" t="s">
        <v>67</v>
      </c>
    </row>
    <row r="8" spans="1:6" s="6" customFormat="1" x14ac:dyDescent="0.3">
      <c r="A8" s="34"/>
      <c r="B8" s="4" t="s">
        <v>68</v>
      </c>
      <c r="C8" s="5">
        <v>2</v>
      </c>
      <c r="D8" s="5">
        <v>0.1</v>
      </c>
      <c r="E8" s="4" t="s">
        <v>169</v>
      </c>
      <c r="F8" s="7" t="s">
        <v>69</v>
      </c>
    </row>
    <row r="9" spans="1:6" s="6" customFormat="1" x14ac:dyDescent="0.3">
      <c r="A9" s="34"/>
      <c r="B9" s="4" t="s">
        <v>70</v>
      </c>
      <c r="C9" s="5">
        <v>4</v>
      </c>
      <c r="D9" s="5">
        <v>0.02</v>
      </c>
      <c r="E9" s="4" t="s">
        <v>71</v>
      </c>
      <c r="F9" s="7" t="s">
        <v>72</v>
      </c>
    </row>
    <row r="10" spans="1:6" s="6" customFormat="1" x14ac:dyDescent="0.3">
      <c r="A10" s="34"/>
      <c r="B10" s="4" t="s">
        <v>73</v>
      </c>
      <c r="C10" s="5">
        <v>4</v>
      </c>
      <c r="D10" s="5">
        <v>0.02</v>
      </c>
      <c r="E10" s="4" t="s">
        <v>74</v>
      </c>
      <c r="F10" s="7" t="s">
        <v>75</v>
      </c>
    </row>
    <row r="11" spans="1:6" s="6" customFormat="1" x14ac:dyDescent="0.3">
      <c r="A11" s="34"/>
      <c r="B11" s="4" t="s">
        <v>76</v>
      </c>
      <c r="C11" s="5">
        <v>1</v>
      </c>
      <c r="D11" s="5">
        <v>0.02</v>
      </c>
      <c r="E11" s="4" t="s">
        <v>77</v>
      </c>
      <c r="F11" s="20" t="s">
        <v>78</v>
      </c>
    </row>
    <row r="12" spans="1:6" s="6" customFormat="1" x14ac:dyDescent="0.3">
      <c r="A12" s="34"/>
      <c r="B12" s="4" t="s">
        <v>79</v>
      </c>
      <c r="C12" s="5">
        <v>2</v>
      </c>
      <c r="D12" s="5">
        <v>0.02</v>
      </c>
      <c r="E12" s="4" t="s">
        <v>80</v>
      </c>
      <c r="F12" s="20" t="s">
        <v>81</v>
      </c>
    </row>
    <row r="13" spans="1:6" s="6" customFormat="1" x14ac:dyDescent="0.3">
      <c r="A13" s="34"/>
      <c r="B13" s="4" t="s">
        <v>82</v>
      </c>
      <c r="C13" s="5">
        <v>3</v>
      </c>
      <c r="D13" s="5">
        <v>0.03</v>
      </c>
      <c r="E13" s="4" t="s">
        <v>83</v>
      </c>
      <c r="F13" s="20" t="s">
        <v>84</v>
      </c>
    </row>
    <row r="14" spans="1:6" s="6" customFormat="1" x14ac:dyDescent="0.3">
      <c r="A14" s="34"/>
      <c r="B14" s="4" t="s">
        <v>85</v>
      </c>
      <c r="C14" s="5">
        <v>1</v>
      </c>
      <c r="D14" s="5">
        <v>0.1</v>
      </c>
      <c r="E14" s="4" t="s">
        <v>86</v>
      </c>
      <c r="F14" s="7" t="s">
        <v>87</v>
      </c>
    </row>
    <row r="15" spans="1:6" s="6" customFormat="1" x14ac:dyDescent="0.3">
      <c r="A15" s="34"/>
      <c r="B15" s="4" t="s">
        <v>88</v>
      </c>
      <c r="C15" s="5">
        <v>1</v>
      </c>
      <c r="D15" s="5">
        <v>0.7</v>
      </c>
      <c r="E15" s="4" t="s">
        <v>89</v>
      </c>
      <c r="F15" s="7" t="s">
        <v>90</v>
      </c>
    </row>
    <row r="16" spans="1:6" s="6" customFormat="1" x14ac:dyDescent="0.3">
      <c r="A16" s="34"/>
      <c r="B16" s="4" t="s">
        <v>91</v>
      </c>
      <c r="C16" s="5">
        <v>2</v>
      </c>
      <c r="D16" s="5">
        <v>0.28000000000000003</v>
      </c>
      <c r="E16" s="4" t="s">
        <v>92</v>
      </c>
      <c r="F16" s="7" t="s">
        <v>93</v>
      </c>
    </row>
    <row r="17" spans="1:6" s="6" customFormat="1" x14ac:dyDescent="0.3">
      <c r="A17" s="34"/>
      <c r="B17" s="4" t="s">
        <v>94</v>
      </c>
      <c r="C17" s="5">
        <v>1</v>
      </c>
      <c r="D17" s="5">
        <v>0.23</v>
      </c>
      <c r="E17" s="4" t="s">
        <v>95</v>
      </c>
      <c r="F17" s="7" t="s">
        <v>96</v>
      </c>
    </row>
    <row r="18" spans="1:6" s="6" customFormat="1" x14ac:dyDescent="0.3">
      <c r="A18" s="34"/>
      <c r="B18" s="4" t="s">
        <v>97</v>
      </c>
      <c r="C18" s="5">
        <v>2</v>
      </c>
      <c r="D18" s="5">
        <v>0.18</v>
      </c>
      <c r="E18" s="4" t="s">
        <v>98</v>
      </c>
      <c r="F18" s="20" t="s">
        <v>99</v>
      </c>
    </row>
    <row r="19" spans="1:6" s="6" customFormat="1" x14ac:dyDescent="0.3">
      <c r="A19" s="34"/>
      <c r="B19" s="4" t="s">
        <v>100</v>
      </c>
      <c r="C19" s="5">
        <v>20</v>
      </c>
      <c r="D19" s="5">
        <v>0.06</v>
      </c>
      <c r="E19" s="4" t="s">
        <v>101</v>
      </c>
      <c r="F19" s="7" t="s">
        <v>102</v>
      </c>
    </row>
    <row r="20" spans="1:6" s="6" customFormat="1" x14ac:dyDescent="0.3">
      <c r="A20" s="34"/>
      <c r="B20" s="4" t="s">
        <v>103</v>
      </c>
      <c r="C20" s="5">
        <v>20</v>
      </c>
      <c r="D20" s="5">
        <v>0.03</v>
      </c>
      <c r="E20" s="6" t="s">
        <v>104</v>
      </c>
      <c r="F20" s="7" t="s">
        <v>105</v>
      </c>
    </row>
    <row r="21" spans="1:6" s="6" customFormat="1" x14ac:dyDescent="0.3">
      <c r="A21" s="34"/>
      <c r="B21" s="4" t="s">
        <v>106</v>
      </c>
      <c r="C21" s="5">
        <v>20</v>
      </c>
      <c r="D21" s="5">
        <v>0.02</v>
      </c>
      <c r="E21" s="6" t="s">
        <v>107</v>
      </c>
      <c r="F21" s="7" t="s">
        <v>108</v>
      </c>
    </row>
    <row r="22" spans="1:6" s="14" customFormat="1" x14ac:dyDescent="0.3">
      <c r="A22" s="37" t="s">
        <v>112</v>
      </c>
      <c r="B22" s="12" t="s">
        <v>113</v>
      </c>
      <c r="C22" s="13">
        <v>1</v>
      </c>
      <c r="D22" s="13">
        <v>0.75</v>
      </c>
      <c r="E22" s="12" t="s">
        <v>114</v>
      </c>
      <c r="F22" s="15" t="s">
        <v>115</v>
      </c>
    </row>
    <row r="23" spans="1:6" s="14" customFormat="1" x14ac:dyDescent="0.3">
      <c r="A23" s="37"/>
      <c r="B23" s="12" t="s">
        <v>116</v>
      </c>
      <c r="C23" s="13">
        <v>4</v>
      </c>
      <c r="D23" s="13">
        <v>0.2</v>
      </c>
      <c r="E23" s="12" t="s">
        <v>117</v>
      </c>
      <c r="F23" s="15" t="s">
        <v>118</v>
      </c>
    </row>
    <row r="24" spans="1:6" s="14" customFormat="1" x14ac:dyDescent="0.3">
      <c r="A24" s="37"/>
      <c r="B24" s="12" t="s">
        <v>119</v>
      </c>
      <c r="C24" s="13">
        <v>2</v>
      </c>
      <c r="D24" s="13">
        <v>0.81</v>
      </c>
      <c r="E24" s="12" t="s">
        <v>120</v>
      </c>
      <c r="F24" s="15" t="s">
        <v>121</v>
      </c>
    </row>
    <row r="25" spans="1:6" s="8" customFormat="1" x14ac:dyDescent="0.3">
      <c r="A25" s="38" t="s">
        <v>122</v>
      </c>
      <c r="B25" s="9" t="s">
        <v>123</v>
      </c>
      <c r="C25" s="10">
        <v>1</v>
      </c>
      <c r="D25" s="10">
        <v>16</v>
      </c>
      <c r="E25" s="9" t="s">
        <v>124</v>
      </c>
      <c r="F25" s="11" t="s">
        <v>125</v>
      </c>
    </row>
    <row r="26" spans="1:6" s="8" customFormat="1" x14ac:dyDescent="0.3">
      <c r="A26" s="39"/>
      <c r="B26" s="9" t="s">
        <v>126</v>
      </c>
      <c r="C26" s="10">
        <v>1</v>
      </c>
      <c r="D26" s="10">
        <v>1.9</v>
      </c>
      <c r="E26" s="9" t="s">
        <v>127</v>
      </c>
      <c r="F26" s="11" t="s">
        <v>128</v>
      </c>
    </row>
    <row r="27" spans="1:6" s="8" customFormat="1" x14ac:dyDescent="0.3">
      <c r="A27" s="39"/>
      <c r="B27" s="9" t="s">
        <v>129</v>
      </c>
      <c r="C27" s="10">
        <v>2</v>
      </c>
      <c r="D27" s="10">
        <v>1.2</v>
      </c>
      <c r="E27" s="9" t="s">
        <v>130</v>
      </c>
      <c r="F27" s="11" t="s">
        <v>155</v>
      </c>
    </row>
    <row r="28" spans="1:6" s="8" customFormat="1" x14ac:dyDescent="0.3">
      <c r="A28" s="39"/>
      <c r="B28" s="9" t="s">
        <v>154</v>
      </c>
      <c r="C28" s="10">
        <v>1</v>
      </c>
      <c r="D28" s="10">
        <v>0.05</v>
      </c>
      <c r="E28" s="9" t="s">
        <v>165</v>
      </c>
      <c r="F28" s="11" t="s">
        <v>166</v>
      </c>
    </row>
    <row r="29" spans="1:6" s="8" customFormat="1" x14ac:dyDescent="0.3">
      <c r="A29" s="39"/>
      <c r="B29" s="9" t="s">
        <v>151</v>
      </c>
      <c r="C29" s="10">
        <v>1</v>
      </c>
      <c r="D29" s="10">
        <v>1.45</v>
      </c>
      <c r="E29" s="9" t="s">
        <v>152</v>
      </c>
      <c r="F29" s="11" t="s">
        <v>153</v>
      </c>
    </row>
    <row r="30" spans="1:6" s="8" customFormat="1" x14ac:dyDescent="0.3">
      <c r="A30" s="39"/>
      <c r="B30" s="9" t="s">
        <v>131</v>
      </c>
      <c r="C30" s="10">
        <v>1</v>
      </c>
      <c r="D30" s="10">
        <v>0.06</v>
      </c>
      <c r="E30" s="9" t="s">
        <v>149</v>
      </c>
      <c r="F30" s="11" t="s">
        <v>132</v>
      </c>
    </row>
    <row r="31" spans="1:6" s="8" customFormat="1" x14ac:dyDescent="0.3">
      <c r="A31" s="40"/>
      <c r="B31" s="9" t="s">
        <v>147</v>
      </c>
      <c r="C31" s="10">
        <v>1</v>
      </c>
      <c r="D31" s="10">
        <v>0.03</v>
      </c>
      <c r="E31" s="9" t="s">
        <v>150</v>
      </c>
      <c r="F31" s="11" t="s">
        <v>148</v>
      </c>
    </row>
    <row r="32" spans="1:6" s="29" customFormat="1" x14ac:dyDescent="0.3">
      <c r="A32" s="35" t="s">
        <v>133</v>
      </c>
      <c r="B32" s="26" t="s">
        <v>134</v>
      </c>
      <c r="C32" s="27">
        <v>0</v>
      </c>
      <c r="D32" s="27">
        <v>5.8</v>
      </c>
      <c r="E32" s="26" t="s">
        <v>135</v>
      </c>
      <c r="F32" s="28" t="s">
        <v>136</v>
      </c>
    </row>
    <row r="33" spans="1:6" s="29" customFormat="1" x14ac:dyDescent="0.3">
      <c r="A33" s="36"/>
      <c r="B33" s="30" t="s">
        <v>137</v>
      </c>
      <c r="C33" s="31">
        <v>1</v>
      </c>
      <c r="D33" s="31">
        <v>53.7</v>
      </c>
      <c r="E33" s="30" t="s">
        <v>138</v>
      </c>
      <c r="F33" s="32" t="s">
        <v>139</v>
      </c>
    </row>
    <row r="34" spans="1:6" s="18" customFormat="1" x14ac:dyDescent="0.3">
      <c r="A34" s="16" t="s">
        <v>140</v>
      </c>
      <c r="B34" s="19" t="s">
        <v>141</v>
      </c>
      <c r="C34" s="16">
        <v>1</v>
      </c>
      <c r="D34" s="16">
        <v>30</v>
      </c>
      <c r="E34" s="17" t="s">
        <v>142</v>
      </c>
      <c r="F34" s="21" t="s">
        <v>143</v>
      </c>
    </row>
    <row r="35" spans="1:6" s="25" customFormat="1" x14ac:dyDescent="0.3">
      <c r="A35" s="22" t="s">
        <v>144</v>
      </c>
      <c r="B35" s="23" t="s">
        <v>145</v>
      </c>
      <c r="C35" s="22">
        <v>0</v>
      </c>
      <c r="D35" s="22" t="s">
        <v>146</v>
      </c>
      <c r="E35" s="23"/>
      <c r="F35" s="24"/>
    </row>
    <row r="36" spans="1:6" x14ac:dyDescent="0.3">
      <c r="C36" s="1" t="s">
        <v>167</v>
      </c>
      <c r="D36" s="33">
        <f>SUMPRODUCT(C2:C34,D2:D34)</f>
        <v>272.44000000000005</v>
      </c>
    </row>
    <row r="38" spans="1:6" s="4" customFormat="1" x14ac:dyDescent="0.3">
      <c r="A38" s="4" t="s">
        <v>156</v>
      </c>
      <c r="B38" s="4" t="s">
        <v>109</v>
      </c>
      <c r="C38" s="5">
        <v>1</v>
      </c>
      <c r="D38" s="5">
        <v>4.2</v>
      </c>
      <c r="E38" s="4" t="s">
        <v>110</v>
      </c>
      <c r="F38" s="7" t="s">
        <v>111</v>
      </c>
    </row>
    <row r="39" spans="1:6" s="9" customFormat="1" x14ac:dyDescent="0.3">
      <c r="A39" s="41" t="s">
        <v>157</v>
      </c>
      <c r="B39" s="9" t="s">
        <v>159</v>
      </c>
      <c r="C39" s="10">
        <v>1</v>
      </c>
      <c r="D39" s="10">
        <v>3.5</v>
      </c>
      <c r="E39" s="9" t="s">
        <v>160</v>
      </c>
      <c r="F39" s="11" t="s">
        <v>163</v>
      </c>
    </row>
    <row r="40" spans="1:6" s="9" customFormat="1" x14ac:dyDescent="0.3">
      <c r="A40" s="41"/>
      <c r="B40" s="9" t="s">
        <v>158</v>
      </c>
      <c r="C40" s="10">
        <v>1</v>
      </c>
      <c r="D40" s="10">
        <v>0.33</v>
      </c>
      <c r="E40" s="9" t="s">
        <v>161</v>
      </c>
      <c r="F40" s="11" t="s">
        <v>162</v>
      </c>
    </row>
    <row r="41" spans="1:6" x14ac:dyDescent="0.3">
      <c r="A41" t="s">
        <v>164</v>
      </c>
      <c r="C41" s="1" t="s">
        <v>168</v>
      </c>
      <c r="D41" s="33">
        <f>SUMPRODUCT(C38:C40,D38:D40)</f>
        <v>8.0299999999999994</v>
      </c>
    </row>
    <row r="43" spans="1:6" x14ac:dyDescent="0.3">
      <c r="A43" t="s">
        <v>170</v>
      </c>
      <c r="B43" t="s">
        <v>171</v>
      </c>
    </row>
  </sheetData>
  <mergeCells count="5">
    <mergeCell ref="A2:A21"/>
    <mergeCell ref="A32:A33"/>
    <mergeCell ref="A22:A24"/>
    <mergeCell ref="A25:A31"/>
    <mergeCell ref="A39:A40"/>
  </mergeCells>
  <phoneticPr fontId="1" type="noConversion"/>
  <hyperlinks>
    <hyperlink ref="F5" r:id="rId1" xr:uid="{5F74E91B-6ECE-40DD-850B-27C11AFED461}"/>
    <hyperlink ref="F16" r:id="rId2" xr:uid="{A0996972-4B29-433C-B99A-6EDD2E1B6F56}"/>
    <hyperlink ref="F17" r:id="rId3" xr:uid="{1BB048BF-7D57-4013-9C7B-A0EF84E8864F}"/>
    <hyperlink ref="F38" r:id="rId4" xr:uid="{3AF01155-7B73-4DB6-9697-FC4A6DEBEC9C}"/>
    <hyperlink ref="F14" r:id="rId5" xr:uid="{B4AC36F9-164A-4D82-80C3-901DFCE0C815}"/>
    <hyperlink ref="F8" r:id="rId6" xr:uid="{D94364EA-F189-4767-8CF5-77F6964670E7}"/>
    <hyperlink ref="F4" r:id="rId7" xr:uid="{F351922F-EBF0-47FA-9C5E-7AC7006F675F}"/>
    <hyperlink ref="F19" r:id="rId8" xr:uid="{0C90A308-0219-4A0F-A01B-4B827A302C30}"/>
    <hyperlink ref="F20" r:id="rId9" xr:uid="{5063843A-244F-410B-AE99-1DE1F824AD6A}"/>
    <hyperlink ref="F21" r:id="rId10" xr:uid="{68591E22-B461-4C70-AE68-BBE442E9AE1D}"/>
    <hyperlink ref="F26" r:id="rId11" xr:uid="{72D93342-7E56-4D04-A108-051B039F468D}"/>
    <hyperlink ref="F25" r:id="rId12" xr:uid="{536FF364-D5BE-43CB-B7E0-C8619ED55D0B}"/>
    <hyperlink ref="F27" r:id="rId13" xr:uid="{F1523EA8-C807-462C-B02B-A506008A2EC5}"/>
    <hyperlink ref="F30" r:id="rId14" xr:uid="{09B05EEC-A41B-4A06-9B46-D7943C8A5E2B}"/>
    <hyperlink ref="F32" r:id="rId15" display="https://item.taobao.com/item.htm?ali_refid=a3_430582_1006%3A1121464922%3AH%3A4tjgc5NplKzS%2FKtP45lGIA%3D%3D%3Aac9fc5f13f31effb230ecf2495d5ab13&amp;ali_trackid=318_ac9fc5f13f31effb230ecf2495d5ab13&amp;id=946464672201&amp;mi_id=0000kcYIv4PIY3mBn6l5RCPrOboV36KlReD3sRaxUdyov_w&amp;mm_sceneid=0_0_111680763_0&amp;priceTId=2100c81917872054981918987e0ac6&amp;spm=a21n57.1.hoverItem.1&amp;utparam=%7B%22aplus_abtest%22%3A%22010686e7ebe3b2e66696dadaa7d76b44%22%7D&amp;xxc=ad_ztc" xr:uid="{DC30745B-6B17-4C0D-95DE-30D0DF55AABE}"/>
    <hyperlink ref="F33" r:id="rId16" display="https://item.taobao.com/item.htm?abbucket=5&amp;id=561115648587&amp;mi_id=0000oPG8l0Rr8aAfyzkSFYvI9s1LriUD0sE8yXtU7scHXzc&amp;ns=1&amp;priceTId=2100c81917872057276736270e0ac6&amp;skuId=4707027301382&amp;spm=a21n57.1.hoverItem.2&amp;utparam=%7B%22aplus_abtest%22%3A%2209576fd0cd5a6b6b965385e6363d59ac%22%7D&amp;xxc=taobaoSearch" xr:uid="{E8AEBD7B-5AB0-4102-9650-DA46F8C73342}"/>
    <hyperlink ref="F23" r:id="rId17" xr:uid="{AB411B52-4853-4644-8A40-884252AF6C9F}"/>
    <hyperlink ref="F24" r:id="rId18" xr:uid="{0C1A9B53-C872-4A28-AE8E-4A6BBFF5BEE6}"/>
    <hyperlink ref="F12" r:id="rId19" xr:uid="{4C8AFA93-08D6-4185-80E4-6A6EC95DAF1D}"/>
    <hyperlink ref="F9" r:id="rId20" xr:uid="{CC8BF307-3BA3-4A2E-A900-330EDEA49422}"/>
    <hyperlink ref="F6" r:id="rId21" xr:uid="{81824AFC-3DBF-4790-9DE2-E0F17A308C23}"/>
    <hyperlink ref="F2" r:id="rId22" xr:uid="{EF8EF459-EDE8-4DE6-90EE-030DAC4252CF}"/>
    <hyperlink ref="F3" r:id="rId23" xr:uid="{C7A4D833-E29D-43AE-A322-03B7C280921B}"/>
    <hyperlink ref="F34" r:id="rId24" xr:uid="{B203EAA1-FD05-4F54-BCC9-292F54EBA961}"/>
    <hyperlink ref="F7" r:id="rId25" xr:uid="{EA5AFD9D-3AD5-47C1-8E64-59DC0F575E33}"/>
    <hyperlink ref="F10" r:id="rId26" xr:uid="{E1FA5939-1A30-4304-8EA1-EED41D3D4A51}"/>
    <hyperlink ref="F11" r:id="rId27" xr:uid="{2AD62678-79C9-470E-A245-B8B625D15CA3}"/>
    <hyperlink ref="F13" r:id="rId28" xr:uid="{25E5E15A-8F60-4877-A891-BC3E24ABBFFF}"/>
    <hyperlink ref="F15" r:id="rId29" display="https://item.taobao.com/item.htm?abbucket=5&amp;id=705594451564&amp;mi_id=0000jXnwBC4jwHlI2aIU0_IEJHM5Bm_8ptrhSnnhpY4seXw&amp;ns=1&amp;priceTId=2100c91317872039226376258e0a2a&amp;skuId=5135814551305&amp;spm=a21n57.1.hoverItem.11&amp;utparam=%7B%22aplus_abtest%22%3A%22d27fed187366cc94e8415caaa95df342%22%7D&amp;xxc=taobaoSearch" xr:uid="{E554A41A-FD7B-4258-A613-0C172884303B}"/>
    <hyperlink ref="F18" r:id="rId30" xr:uid="{246BE19C-DC12-4256-B040-1DF598C63DE6}"/>
    <hyperlink ref="F28" r:id="rId31" xr:uid="{0E68EFF0-B643-401F-9E49-78FE27A7514B}"/>
    <hyperlink ref="F22" r:id="rId32" xr:uid="{87CCADA7-BE36-4899-9375-7BFBBB00A2A5}"/>
    <hyperlink ref="F31" r:id="rId33" xr:uid="{2428B6D2-2391-4908-A6AD-21CE121CEE6F}"/>
    <hyperlink ref="F29" r:id="rId34" xr:uid="{D1EE1AD5-1DE8-440E-8F63-0F6F8BAFBDFB}"/>
    <hyperlink ref="F40" r:id="rId35" xr:uid="{1307C112-C242-4E40-AC01-F21C720B4FC2}"/>
    <hyperlink ref="F39" r:id="rId36" xr:uid="{CBDD2EDA-B271-425E-9C2E-3FF0D8177A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BOM_Board V0.4_Schematic1_2_202</vt:lpstr>
      <vt:lpstr>复刻物料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2026-08-20T03:54:07Z</dcterms:created>
  <dcterms:modified xsi:type="dcterms:W3CDTF">2026-10-09T01:13:41Z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7ce0bc-1ec2-41cb-8ddc-b020b80710b7_Enabled">
    <vt:lpwstr>true</vt:lpwstr>
  </property>
  <property fmtid="{D5CDD505-2E9C-101B-9397-08002B2CF9AE}" pid="3" name="MSIP_Label_0c7ce0bc-1ec2-41cb-8ddc-b020b80710b7_SetDate">
    <vt:lpwstr>2026-09-18T07:40:42Z</vt:lpwstr>
  </property>
  <property fmtid="{D5CDD505-2E9C-101B-9397-08002B2CF9AE}" pid="4" name="MSIP_Label_0c7ce0bc-1ec2-41cb-8ddc-b020b80710b7_Method">
    <vt:lpwstr>Standard</vt:lpwstr>
  </property>
  <property fmtid="{D5CDD505-2E9C-101B-9397-08002B2CF9AE}" pid="5" name="MSIP_Label_0c7ce0bc-1ec2-41cb-8ddc-b020b80710b7_Name">
    <vt:lpwstr>Restricted (Internal data)</vt:lpwstr>
  </property>
  <property fmtid="{D5CDD505-2E9C-101B-9397-08002B2CF9AE}" pid="6" name="MSIP_Label_0c7ce0bc-1ec2-41cb-8ddc-b020b80710b7_SiteId">
    <vt:lpwstr>fe90179d-8207-4cb2-8834-0ce27ee0162d</vt:lpwstr>
  </property>
  <property fmtid="{D5CDD505-2E9C-101B-9397-08002B2CF9AE}" pid="7" name="MSIP_Label_0c7ce0bc-1ec2-41cb-8ddc-b020b80710b7_ActionId">
    <vt:lpwstr>047b5c76-f2f7-45fe-8057-e7997c3db5be</vt:lpwstr>
  </property>
  <property fmtid="{D5CDD505-2E9C-101B-9397-08002B2CF9AE}" pid="8" name="MSIP_Label_0c7ce0bc-1ec2-41cb-8ddc-b020b80710b7_ContentBits">
    <vt:lpwstr>0</vt:lpwstr>
  </property>
  <property fmtid="{D5CDD505-2E9C-101B-9397-08002B2CF9AE}" pid="9" name="MSIP_Label_0c7ce0bc-1ec2-41cb-8ddc-b020b80710b7_Tag">
    <vt:lpwstr>10, 3, 0, 1</vt:lpwstr>
  </property>
</Properties>
</file>